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khmansingh/Desktop/ms excel/"/>
    </mc:Choice>
  </mc:AlternateContent>
  <xr:revisionPtr revIDLastSave="0" documentId="13_ncr:1_{9D702D5E-8F47-3B4D-836F-96F70868D3AD}" xr6:coauthVersionLast="47" xr6:coauthVersionMax="47" xr10:uidLastSave="{00000000-0000-0000-0000-000000000000}"/>
  <bookViews>
    <workbookView xWindow="0" yWindow="660" windowWidth="29400" windowHeight="17340" xr2:uid="{EB572647-B33C-DF4D-B0EE-0795FAF11F65}"/>
  </bookViews>
  <sheets>
    <sheet name="Sheet1" sheetId="1" r:id="rId1"/>
    <sheet name="Sheet2" sheetId="2" r:id="rId2"/>
  </sheets>
  <definedNames>
    <definedName name="_xlchart.v1.0" hidden="1">Sheet1!$O$1</definedName>
    <definedName name="_xlchart.v1.1" hidden="1">Sheet1!$O$2</definedName>
    <definedName name="_xlchart.v1.10" hidden="1">Sheet1!$Q$1</definedName>
    <definedName name="_xlchart.v1.11" hidden="1">Sheet1!$Q$2</definedName>
    <definedName name="_xlchart.v1.14" hidden="1">Sheet1!$O$1</definedName>
    <definedName name="_xlchart.v1.15" hidden="1">Sheet1!$O$2</definedName>
    <definedName name="_xlchart.v1.16" hidden="1">Sheet1!$P$1</definedName>
    <definedName name="_xlchart.v1.17" hidden="1">Sheet1!$P$2</definedName>
    <definedName name="_xlchart.v1.18" hidden="1">Sheet1!$Q$1</definedName>
    <definedName name="_xlchart.v1.19" hidden="1">Sheet1!$Q$2</definedName>
    <definedName name="_xlchart.v1.2" hidden="1">Sheet1!$P$1</definedName>
    <definedName name="_xlchart.v1.3" hidden="1">Sheet1!$P$2</definedName>
    <definedName name="_xlchart.v1.4" hidden="1">Sheet1!$Q$1</definedName>
    <definedName name="_xlchart.v1.5" hidden="1">Sheet1!$Q$2</definedName>
    <definedName name="_xlchart.v1.6" hidden="1">Sheet1!$O$1</definedName>
    <definedName name="_xlchart.v1.7" hidden="1">Sheet1!$O$2</definedName>
    <definedName name="_xlchart.v1.8" hidden="1">Sheet1!$P$1</definedName>
    <definedName name="_xlchart.v1.9" hidden="1">Sheet1!$P$2</definedName>
    <definedName name="_xlchart.v2.12" hidden="1">Sheet1!$O$1:$Q$1</definedName>
    <definedName name="_xlchart.v2.13" hidden="1">Sheet1!$O$2:$Q$2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R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F3" i="1"/>
  <c r="F4" i="1"/>
  <c r="H4" i="1" s="1"/>
  <c r="I4" i="1" s="1"/>
  <c r="F5" i="1"/>
  <c r="H5" i="1" s="1"/>
  <c r="I5" i="1" s="1"/>
  <c r="F6" i="1"/>
  <c r="H6" i="1" s="1"/>
  <c r="I6" i="1" s="1"/>
  <c r="F7" i="1"/>
  <c r="H7" i="1" s="1"/>
  <c r="I7" i="1" s="1"/>
  <c r="F8" i="1"/>
  <c r="H8" i="1" s="1"/>
  <c r="I8" i="1" s="1"/>
  <c r="F9" i="1"/>
  <c r="H9" i="1" s="1"/>
  <c r="I9" i="1" s="1"/>
  <c r="F10" i="1"/>
  <c r="H10" i="1" s="1"/>
  <c r="I10" i="1" s="1"/>
  <c r="F11" i="1"/>
  <c r="H11" i="1" s="1"/>
  <c r="I11" i="1" s="1"/>
  <c r="F12" i="1"/>
  <c r="H12" i="1" s="1"/>
  <c r="I12" i="1" s="1"/>
  <c r="F13" i="1"/>
  <c r="H13" i="1" s="1"/>
  <c r="I13" i="1" s="1"/>
  <c r="F14" i="1"/>
  <c r="H14" i="1" s="1"/>
  <c r="I14" i="1" s="1"/>
  <c r="F15" i="1"/>
  <c r="H15" i="1" s="1"/>
  <c r="I15" i="1" s="1"/>
  <c r="F16" i="1"/>
  <c r="H16" i="1" s="1"/>
  <c r="I16" i="1" s="1"/>
  <c r="F17" i="1"/>
  <c r="H17" i="1" s="1"/>
  <c r="I17" i="1" s="1"/>
  <c r="F18" i="1"/>
  <c r="H18" i="1" s="1"/>
  <c r="I18" i="1" s="1"/>
  <c r="F19" i="1"/>
  <c r="H19" i="1" s="1"/>
  <c r="I19" i="1" s="1"/>
  <c r="F20" i="1"/>
  <c r="H20" i="1" s="1"/>
  <c r="I20" i="1" s="1"/>
  <c r="F21" i="1"/>
  <c r="H21" i="1" s="1"/>
  <c r="I21" i="1" s="1"/>
  <c r="F2" i="1"/>
  <c r="H2" i="1" s="1"/>
  <c r="P2" i="1" l="1"/>
  <c r="I2" i="1"/>
  <c r="H3" i="1"/>
  <c r="I3" i="1" s="1"/>
  <c r="R2" i="1"/>
  <c r="O2" i="1"/>
  <c r="Q2" i="1" l="1"/>
</calcChain>
</file>

<file path=xl/sharedStrings.xml><?xml version="1.0" encoding="utf-8"?>
<sst xmlns="http://schemas.openxmlformats.org/spreadsheetml/2006/main" count="36" uniqueCount="36">
  <si>
    <t>ID</t>
  </si>
  <si>
    <t>Name</t>
  </si>
  <si>
    <t>Math</t>
  </si>
  <si>
    <t>Science</t>
  </si>
  <si>
    <t>English</t>
  </si>
  <si>
    <t>Aman</t>
  </si>
  <si>
    <t>Ravi</t>
  </si>
  <si>
    <t>Simran</t>
  </si>
  <si>
    <t>Karan</t>
  </si>
  <si>
    <t>Neha</t>
  </si>
  <si>
    <t>Arjun</t>
  </si>
  <si>
    <t>Priya</t>
  </si>
  <si>
    <t>Rohit</t>
  </si>
  <si>
    <t>Meena</t>
  </si>
  <si>
    <t>Sohan</t>
  </si>
  <si>
    <t>Pooja</t>
  </si>
  <si>
    <t>Vikram</t>
  </si>
  <si>
    <t>Anjali</t>
  </si>
  <si>
    <t>Deepak</t>
  </si>
  <si>
    <t>Ritu</t>
  </si>
  <si>
    <t>Mohit</t>
  </si>
  <si>
    <t>Kavita</t>
  </si>
  <si>
    <t>Sunil</t>
  </si>
  <si>
    <t>Tina</t>
  </si>
  <si>
    <t>Raj</t>
  </si>
  <si>
    <t>Total Marks</t>
  </si>
  <si>
    <t>Average</t>
  </si>
  <si>
    <t>Percentage</t>
  </si>
  <si>
    <t>Grade</t>
  </si>
  <si>
    <t>Pass/Fail</t>
  </si>
  <si>
    <t>Highest Marks</t>
  </si>
  <si>
    <t>Lowest Marks</t>
  </si>
  <si>
    <t>Class Average</t>
  </si>
  <si>
    <t>Count of Passed Students</t>
  </si>
  <si>
    <t>Count of Failed Students</t>
  </si>
  <si>
    <t>Count of A Grade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</si>
</sst>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Sheet1!$A$2:$B$2</c:f>
              <c:strCache>
                <c:ptCount val="2"/>
                <c:pt idx="0">
                  <c:v>101</c:v>
                </c:pt>
                <c:pt idx="1">
                  <c:v>Aman</c:v>
                </c:pt>
              </c:strCache>
            </c:strRef>
          </c:cat>
          <c:val>
            <c:numRef>
              <c:f>Sheet1!$C$2</c:f>
              <c:numCache>
                <c:formatCode>General</c:formatCode>
                <c:ptCount val="1"/>
                <c:pt idx="0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6-8748-BE79-5F44B7175514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Sheet1!$A$2:$B$2</c:f>
              <c:strCache>
                <c:ptCount val="2"/>
                <c:pt idx="0">
                  <c:v>101</c:v>
                </c:pt>
                <c:pt idx="1">
                  <c:v>Aman</c:v>
                </c:pt>
              </c:strCache>
            </c:strRef>
          </c:cat>
          <c:val>
            <c:numRef>
              <c:f>Sheet1!$D$2</c:f>
              <c:numCache>
                <c:formatCode>General</c:formatCode>
                <c:ptCount val="1"/>
                <c:pt idx="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36-8748-BE79-5F44B7175514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Sheet1!$A$2:$B$2</c:f>
              <c:strCache>
                <c:ptCount val="2"/>
                <c:pt idx="0">
                  <c:v>101</c:v>
                </c:pt>
                <c:pt idx="1">
                  <c:v>Aman</c:v>
                </c:pt>
              </c:strCache>
            </c:strRef>
          </c:cat>
          <c:val>
            <c:numRef>
              <c:f>Sheet1!$E$2</c:f>
              <c:numCache>
                <c:formatCode>General</c:formatCode>
                <c:ptCount val="1"/>
                <c:pt idx="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36-8748-BE79-5F44B7175514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Total Marks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Sheet1!$A$2:$B$2</c:f>
              <c:strCache>
                <c:ptCount val="2"/>
                <c:pt idx="0">
                  <c:v>101</c:v>
                </c:pt>
                <c:pt idx="1">
                  <c:v>Aman</c:v>
                </c:pt>
              </c:strCache>
            </c:strRef>
          </c:cat>
          <c:val>
            <c:numRef>
              <c:f>Sheet1!$F$2</c:f>
              <c:numCache>
                <c:formatCode>General</c:formatCode>
                <c:ptCount val="1"/>
                <c:pt idx="0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36-8748-BE79-5F44B7175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2594815"/>
        <c:axId val="402601983"/>
      </c:barChart>
      <c:catAx>
        <c:axId val="40259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601983"/>
        <c:crosses val="autoZero"/>
        <c:auto val="1"/>
        <c:lblAlgn val="ctr"/>
        <c:lblOffset val="100"/>
        <c:noMultiLvlLbl val="0"/>
      </c:catAx>
      <c:valAx>
        <c:axId val="40260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9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Sheet1!$R$1</c:f>
              <c:strCache>
                <c:ptCount val="1"/>
                <c:pt idx="0">
                  <c:v>Count of Passed Students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5F-D142-B7A2-CE6D3EF4FC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5F-D142-B7A2-CE6D3EF4FC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5F-D142-B7A2-CE6D3EF4FC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45F-D142-B7A2-CE6D3EF4FC41}"/>
              </c:ext>
            </c:extLst>
          </c:dPt>
          <c:val>
            <c:numRef>
              <c:f>Sheet1!$R$2:$R$5</c:f>
              <c:numCache>
                <c:formatCode>General</c:formatCode>
                <c:ptCount val="4"/>
                <c:pt idx="0">
                  <c:v>17</c:v>
                </c:pt>
                <c:pt idx="2">
                  <c:v>0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5F-D142-B7A2-CE6D3EF4F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Sheet1!$O$1:$Q$1</c:f>
              <c:strCache>
                <c:ptCount val="3"/>
                <c:pt idx="0">
                  <c:v>Highest Marks</c:v>
                </c:pt>
                <c:pt idx="1">
                  <c:v>Lowest Marks</c:v>
                </c:pt>
                <c:pt idx="2">
                  <c:v>Class Average</c:v>
                </c:pt>
              </c:strCache>
            </c:strRef>
          </c:cat>
          <c:val>
            <c:numRef>
              <c:f>Sheet1!$O$2:$Q$2</c:f>
              <c:numCache>
                <c:formatCode>General</c:formatCode>
                <c:ptCount val="3"/>
                <c:pt idx="0">
                  <c:v>285</c:v>
                </c:pt>
                <c:pt idx="1">
                  <c:v>128</c:v>
                </c:pt>
                <c:pt idx="2">
                  <c:v>72.550000000000011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D-8143-A823-4EB118AED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3006591"/>
        <c:axId val="442986303"/>
      </c:barChart>
      <c:catAx>
        <c:axId val="423006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86303"/>
        <c:crosses val="autoZero"/>
        <c:auto val="1"/>
        <c:lblAlgn val="ctr"/>
        <c:lblOffset val="100"/>
        <c:noMultiLvlLbl val="0"/>
      </c:catAx>
      <c:valAx>
        <c:axId val="44298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00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63500</xdr:rowOff>
    </xdr:from>
    <xdr:to>
      <xdr:col>6</xdr:col>
      <xdr:colOff>812800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5ADC9D-57E3-2443-9718-B42A25467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</xdr:row>
      <xdr:rowOff>63500</xdr:rowOff>
    </xdr:from>
    <xdr:to>
      <xdr:col>12</xdr:col>
      <xdr:colOff>444500</xdr:colOff>
      <xdr:row>18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34743D-D0B3-B44E-B5C3-647B01454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18</xdr:row>
      <xdr:rowOff>50800</xdr:rowOff>
    </xdr:from>
    <xdr:to>
      <xdr:col>10</xdr:col>
      <xdr:colOff>812800</xdr:colOff>
      <xdr:row>33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4DA9E9-662C-9945-A2C6-C9C332D7E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7BA389-89A2-F240-B5AB-A5EA4373B31D}" name="Table1" displayName="Table1" ref="A1:J21" totalsRowShown="0" headerRowDxfId="19" dataDxfId="18">
  <autoFilter ref="A1:J21" xr:uid="{D77BA389-89A2-F240-B5AB-A5EA4373B31D}"/>
  <tableColumns count="10">
    <tableColumn id="1" xr3:uid="{CA81BDFC-EFF1-704B-A23B-9A187F70E5E2}" name="ID" dataDxfId="17"/>
    <tableColumn id="2" xr3:uid="{6246BA7F-D1EC-1E41-B9D1-70F71304449A}" name="Name"/>
    <tableColumn id="3" xr3:uid="{254C5970-09F7-D746-8788-C3D1F84DFBAD}" name="Math" dataDxfId="16"/>
    <tableColumn id="4" xr3:uid="{6D4E6841-1058-254F-A665-C7C997137A9E}" name="Science" dataDxfId="15"/>
    <tableColumn id="5" xr3:uid="{FAA04E99-F408-E544-9FFE-19CC582EC9BA}" name="English" dataDxfId="14"/>
    <tableColumn id="6" xr3:uid="{7E1EC105-AA74-9946-AECB-F7D0480CC14E}" name="Total Marks" dataDxfId="13">
      <calculatedColumnFormula>SUM(C2:E2)</calculatedColumnFormula>
    </tableColumn>
    <tableColumn id="7" xr3:uid="{F1E22E57-F327-6E48-A5E7-1B5645FFACC7}" name="Average" dataDxfId="12">
      <calculatedColumnFormula>AVERAGE(C2:E2)</calculatedColumnFormula>
    </tableColumn>
    <tableColumn id="8" xr3:uid="{9B1AE376-024E-A744-936A-B8F74A63BD42}" name="Percentage" dataDxfId="11">
      <calculatedColumnFormula>F2/300*100</calculatedColumnFormula>
    </tableColumn>
    <tableColumn id="9" xr3:uid="{4B0A1D3B-D5F4-B04D-8212-B73E0566320D}" name="Grade" dataDxfId="10">
      <calculatedColumnFormula>IF(H2&gt;=90,"A+",IF(H2&gt;=80,"A",IF(H2&gt;=70,"B",IF(H2&gt;=60,"C","F"))))</calculatedColumnFormula>
    </tableColumn>
    <tableColumn id="10" xr3:uid="{E75A6486-768A-094E-8656-58774A8996B3}" name="Pass/Fail" dataDxfId="9">
      <calculatedColumnFormula>IF(AND(C2&gt;=40,D2&gt;=40,E2&gt;=40),"Pass","Fail")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0C9B87-E79F-A041-9437-4BBD93C3ADF2}" name="Table3" displayName="Table3" ref="O1:R2" totalsRowShown="0" dataDxfId="8">
  <autoFilter ref="O1:R2" xr:uid="{0A0C9B87-E79F-A041-9437-4BBD93C3ADF2}"/>
  <tableColumns count="4">
    <tableColumn id="2" xr3:uid="{58A93D93-E6B8-A648-9F6D-F1B4332CCE29}" name="Highest Marks" dataDxfId="7">
      <calculatedColumnFormula>MAX(F2:F21)</calculatedColumnFormula>
    </tableColumn>
    <tableColumn id="3" xr3:uid="{36CDCF99-F804-A045-899F-4CAD1093E628}" name="Lowest Marks" dataDxfId="6">
      <calculatedColumnFormula>MIN(F2:F21)</calculatedColumnFormula>
    </tableColumn>
    <tableColumn id="4" xr3:uid="{67D9A70D-441D-C34C-B7AA-2E27D066C12E}" name="Class Average" dataDxfId="5">
      <calculatedColumnFormula>AVERAGE(H2:H21)</calculatedColumnFormula>
    </tableColumn>
    <tableColumn id="5" xr3:uid="{F004CBE9-0D95-2046-A008-5709BC8B6B9C}" name="Count of Passed Students" dataDxfId="4">
      <calculatedColumnFormula>COUNTIF(J2:J21,"Pass")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8336BB-4637-CA49-AE9A-12021E225B00}" name="Table5" displayName="Table5" ref="O4:O5" totalsRowShown="0" dataDxfId="3">
  <autoFilter ref="O4:O5" xr:uid="{548336BB-4637-CA49-AE9A-12021E225B00}"/>
  <tableColumns count="1">
    <tableColumn id="1" xr3:uid="{9D6431D8-6597-6749-804E-4D08B09AC139}" name="Count of A Grade Students" dataDxfId="2">
      <calculatedColumnFormula>COUNTIF(I2:I21,"A")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DB484B-84D2-A24B-A570-3008419C6B67}" name="Table6" displayName="Table6" ref="R4:R5" totalsRowShown="0" dataDxfId="1">
  <autoFilter ref="R4:R5" xr:uid="{82DB484B-84D2-A24B-A570-3008419C6B67}"/>
  <tableColumns count="1">
    <tableColumn id="1" xr3:uid="{D8AE2C81-8DB6-BD4B-B690-5868F32FED0B}" name="Count of Failed Students" dataDxfId="0">
      <calculatedColumnFormula>COUNTIF(J2:J21,"Fail")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0161E-359E-AC44-9B19-951D2E2987A6}">
  <dimension ref="A1:R21"/>
  <sheetViews>
    <sheetView tabSelected="1" zoomScale="140" workbookViewId="0">
      <selection activeCell="E23" sqref="E23"/>
    </sheetView>
  </sheetViews>
  <sheetFormatPr baseColWidth="10" defaultRowHeight="16" x14ac:dyDescent="0.2"/>
  <cols>
    <col min="6" max="6" width="13.1640625" customWidth="1"/>
    <col min="8" max="8" width="13.1640625" customWidth="1"/>
    <col min="10" max="10" width="12.6640625" customWidth="1"/>
    <col min="15" max="15" width="25" customWidth="1"/>
    <col min="16" max="16" width="14.1640625" customWidth="1"/>
    <col min="17" max="17" width="14.83203125" customWidth="1"/>
    <col min="18" max="18" width="24.1640625" customWidth="1"/>
  </cols>
  <sheetData>
    <row r="1" spans="1:18" x14ac:dyDescent="0.2">
      <c r="A1" s="3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/>
      <c r="O1" t="s">
        <v>30</v>
      </c>
      <c r="P1" t="s">
        <v>31</v>
      </c>
      <c r="Q1" t="s">
        <v>32</v>
      </c>
      <c r="R1" t="s">
        <v>33</v>
      </c>
    </row>
    <row r="2" spans="1:18" x14ac:dyDescent="0.2">
      <c r="A2" s="2">
        <v>101</v>
      </c>
      <c r="B2" t="s">
        <v>5</v>
      </c>
      <c r="C2" s="2">
        <v>78</v>
      </c>
      <c r="D2" s="2">
        <v>85</v>
      </c>
      <c r="E2" s="2">
        <v>80</v>
      </c>
      <c r="F2" s="2">
        <f>SUM(C2:E2)</f>
        <v>243</v>
      </c>
      <c r="G2" s="2">
        <f>AVERAGE(C2:E2)</f>
        <v>81</v>
      </c>
      <c r="H2" s="2">
        <f>F2/300*100</f>
        <v>81</v>
      </c>
      <c r="I2" s="2" t="str">
        <f>IF(H2&gt;=90,"A+",IF(H2&gt;=80,"A",IF(H2&gt;=70,"B",IF(H2&gt;=60,"C","F"))))</f>
        <v>A</v>
      </c>
      <c r="J2" s="2" t="str">
        <f>IF(AND(C2&gt;=40,D2&gt;=40,E2&gt;=40),"Pass","Fail")</f>
        <v>Pass</v>
      </c>
      <c r="O2" s="2">
        <f>MAX(F2:F21)</f>
        <v>285</v>
      </c>
      <c r="P2" s="2">
        <f>MIN(F2:F21)</f>
        <v>128</v>
      </c>
      <c r="Q2" s="2">
        <f>AVERAGE(H2:H21)</f>
        <v>72.550000000000011</v>
      </c>
      <c r="R2" s="2">
        <f>COUNTIF(J2:J21,"Pass")</f>
        <v>17</v>
      </c>
    </row>
    <row r="3" spans="1:18" x14ac:dyDescent="0.2">
      <c r="A3" s="2">
        <v>102</v>
      </c>
      <c r="B3" t="s">
        <v>6</v>
      </c>
      <c r="C3" s="2">
        <v>65</v>
      </c>
      <c r="D3" s="2">
        <v>70</v>
      </c>
      <c r="E3" s="2">
        <v>60</v>
      </c>
      <c r="F3" s="2">
        <f t="shared" ref="F3:F21" si="0">SUM(C3:E3)</f>
        <v>195</v>
      </c>
      <c r="G3" s="2">
        <f t="shared" ref="G3:G21" si="1">AVERAGE(C3:E3)</f>
        <v>65</v>
      </c>
      <c r="H3" s="2">
        <f t="shared" ref="H3:H21" si="2">F3/300*100</f>
        <v>65</v>
      </c>
      <c r="I3" s="2" t="str">
        <f t="shared" ref="I3:I21" si="3">IF(H3&gt;=90,"A+",IF(H3&gt;=80,"A",IF(H3&gt;=70,"B",IF(H3&gt;=60,"C","F"))))</f>
        <v>C</v>
      </c>
      <c r="J3" s="2" t="str">
        <f t="shared" ref="J3:J21" si="4">IF(AND(C3&gt;=40,D3&gt;=40,E3&gt;=40),"Pass","Fail")</f>
        <v>Pass</v>
      </c>
    </row>
    <row r="4" spans="1:18" x14ac:dyDescent="0.2">
      <c r="A4" s="2">
        <v>103</v>
      </c>
      <c r="B4" t="s">
        <v>7</v>
      </c>
      <c r="C4" s="2">
        <v>90</v>
      </c>
      <c r="D4" s="2">
        <v>88</v>
      </c>
      <c r="E4" s="2">
        <v>92</v>
      </c>
      <c r="F4" s="2">
        <f t="shared" si="0"/>
        <v>270</v>
      </c>
      <c r="G4" s="2">
        <f t="shared" si="1"/>
        <v>90</v>
      </c>
      <c r="H4" s="2">
        <f t="shared" si="2"/>
        <v>90</v>
      </c>
      <c r="I4" s="2" t="str">
        <f t="shared" si="3"/>
        <v>A+</v>
      </c>
      <c r="J4" s="2" t="str">
        <f t="shared" si="4"/>
        <v>Pass</v>
      </c>
      <c r="O4" t="s">
        <v>35</v>
      </c>
      <c r="R4" t="s">
        <v>34</v>
      </c>
    </row>
    <row r="5" spans="1:18" x14ac:dyDescent="0.2">
      <c r="A5" s="2">
        <v>104</v>
      </c>
      <c r="B5" t="s">
        <v>8</v>
      </c>
      <c r="C5" s="2">
        <v>55</v>
      </c>
      <c r="D5" s="2">
        <v>60</v>
      </c>
      <c r="E5" s="2">
        <v>58</v>
      </c>
      <c r="F5" s="2">
        <f t="shared" si="0"/>
        <v>173</v>
      </c>
      <c r="G5" s="2">
        <f t="shared" si="1"/>
        <v>57.666666666666664</v>
      </c>
      <c r="H5" s="2">
        <f t="shared" si="2"/>
        <v>57.666666666666664</v>
      </c>
      <c r="I5" s="2" t="str">
        <f t="shared" si="3"/>
        <v>F</v>
      </c>
      <c r="J5" s="2" t="str">
        <f t="shared" si="4"/>
        <v>Pass</v>
      </c>
      <c r="O5" s="2">
        <f>COUNTIF(I2:I21,"A")</f>
        <v>3</v>
      </c>
      <c r="Q5" s="2"/>
      <c r="R5" s="2">
        <f>COUNTIF(J2:J21,"Fail")</f>
        <v>3</v>
      </c>
    </row>
    <row r="6" spans="1:18" x14ac:dyDescent="0.2">
      <c r="A6" s="2">
        <v>105</v>
      </c>
      <c r="B6" t="s">
        <v>9</v>
      </c>
      <c r="C6" s="2">
        <v>82</v>
      </c>
      <c r="D6" s="2">
        <v>79</v>
      </c>
      <c r="E6" s="2">
        <v>85</v>
      </c>
      <c r="F6" s="2">
        <f t="shared" si="0"/>
        <v>246</v>
      </c>
      <c r="G6" s="2">
        <f t="shared" si="1"/>
        <v>82</v>
      </c>
      <c r="H6" s="2">
        <f t="shared" si="2"/>
        <v>82</v>
      </c>
      <c r="I6" s="2" t="str">
        <f t="shared" si="3"/>
        <v>A</v>
      </c>
      <c r="J6" s="2" t="str">
        <f t="shared" si="4"/>
        <v>Pass</v>
      </c>
    </row>
    <row r="7" spans="1:18" x14ac:dyDescent="0.2">
      <c r="A7" s="2">
        <v>106</v>
      </c>
      <c r="B7" t="s">
        <v>10</v>
      </c>
      <c r="C7" s="2">
        <v>45</v>
      </c>
      <c r="D7" s="2">
        <v>35</v>
      </c>
      <c r="E7" s="2">
        <v>48</v>
      </c>
      <c r="F7" s="2">
        <f t="shared" si="0"/>
        <v>128</v>
      </c>
      <c r="G7" s="2">
        <f t="shared" si="1"/>
        <v>42.666666666666664</v>
      </c>
      <c r="H7" s="2">
        <f t="shared" si="2"/>
        <v>42.666666666666671</v>
      </c>
      <c r="I7" s="2" t="str">
        <f t="shared" si="3"/>
        <v>F</v>
      </c>
      <c r="J7" s="2" t="str">
        <f t="shared" si="4"/>
        <v>Fail</v>
      </c>
    </row>
    <row r="8" spans="1:18" x14ac:dyDescent="0.2">
      <c r="A8" s="2">
        <v>107</v>
      </c>
      <c r="B8" t="s">
        <v>11</v>
      </c>
      <c r="C8" s="2">
        <v>88</v>
      </c>
      <c r="D8" s="2">
        <v>92</v>
      </c>
      <c r="E8" s="2">
        <v>90</v>
      </c>
      <c r="F8" s="2">
        <f t="shared" si="0"/>
        <v>270</v>
      </c>
      <c r="G8" s="2">
        <f t="shared" si="1"/>
        <v>90</v>
      </c>
      <c r="H8" s="2">
        <f t="shared" si="2"/>
        <v>90</v>
      </c>
      <c r="I8" s="2" t="str">
        <f t="shared" si="3"/>
        <v>A+</v>
      </c>
      <c r="J8" s="2" t="str">
        <f t="shared" si="4"/>
        <v>Pass</v>
      </c>
    </row>
    <row r="9" spans="1:18" x14ac:dyDescent="0.2">
      <c r="A9" s="2">
        <v>108</v>
      </c>
      <c r="B9" t="s">
        <v>12</v>
      </c>
      <c r="C9" s="2">
        <v>72</v>
      </c>
      <c r="D9" s="2">
        <v>68</v>
      </c>
      <c r="E9" s="2">
        <v>75</v>
      </c>
      <c r="F9" s="2">
        <f t="shared" si="0"/>
        <v>215</v>
      </c>
      <c r="G9" s="2">
        <f t="shared" si="1"/>
        <v>71.666666666666671</v>
      </c>
      <c r="H9" s="2">
        <f t="shared" si="2"/>
        <v>71.666666666666671</v>
      </c>
      <c r="I9" s="2" t="str">
        <f t="shared" si="3"/>
        <v>B</v>
      </c>
      <c r="J9" s="2" t="str">
        <f t="shared" si="4"/>
        <v>Pass</v>
      </c>
    </row>
    <row r="10" spans="1:18" x14ac:dyDescent="0.2">
      <c r="A10" s="2">
        <v>109</v>
      </c>
      <c r="B10" t="s">
        <v>13</v>
      </c>
      <c r="C10" s="2">
        <v>95</v>
      </c>
      <c r="D10" s="2">
        <v>94</v>
      </c>
      <c r="E10" s="2">
        <v>96</v>
      </c>
      <c r="F10" s="2">
        <f t="shared" si="0"/>
        <v>285</v>
      </c>
      <c r="G10" s="2">
        <f t="shared" si="1"/>
        <v>95</v>
      </c>
      <c r="H10" s="2">
        <f t="shared" si="2"/>
        <v>95</v>
      </c>
      <c r="I10" s="2" t="str">
        <f t="shared" si="3"/>
        <v>A+</v>
      </c>
      <c r="J10" s="2" t="str">
        <f t="shared" si="4"/>
        <v>Pass</v>
      </c>
    </row>
    <row r="11" spans="1:18" x14ac:dyDescent="0.2">
      <c r="A11" s="2">
        <v>110</v>
      </c>
      <c r="B11" t="s">
        <v>14</v>
      </c>
      <c r="C11" s="2">
        <v>60</v>
      </c>
      <c r="D11" s="2">
        <v>65</v>
      </c>
      <c r="E11" s="2">
        <v>62</v>
      </c>
      <c r="F11" s="2">
        <f t="shared" si="0"/>
        <v>187</v>
      </c>
      <c r="G11" s="2">
        <f t="shared" si="1"/>
        <v>62.333333333333336</v>
      </c>
      <c r="H11" s="2">
        <f t="shared" si="2"/>
        <v>62.333333333333329</v>
      </c>
      <c r="I11" s="2" t="str">
        <f t="shared" si="3"/>
        <v>C</v>
      </c>
      <c r="J11" s="2" t="str">
        <f t="shared" si="4"/>
        <v>Pass</v>
      </c>
    </row>
    <row r="12" spans="1:18" x14ac:dyDescent="0.2">
      <c r="A12" s="2">
        <v>111</v>
      </c>
      <c r="B12" t="s">
        <v>15</v>
      </c>
      <c r="C12" s="2">
        <v>77</v>
      </c>
      <c r="D12" s="2">
        <v>73</v>
      </c>
      <c r="E12" s="2">
        <v>70</v>
      </c>
      <c r="F12" s="2">
        <f t="shared" si="0"/>
        <v>220</v>
      </c>
      <c r="G12" s="2">
        <f t="shared" si="1"/>
        <v>73.333333333333329</v>
      </c>
      <c r="H12" s="2">
        <f t="shared" si="2"/>
        <v>73.333333333333329</v>
      </c>
      <c r="I12" s="2" t="str">
        <f t="shared" si="3"/>
        <v>B</v>
      </c>
      <c r="J12" s="2" t="str">
        <f t="shared" si="4"/>
        <v>Pass</v>
      </c>
    </row>
    <row r="13" spans="1:18" x14ac:dyDescent="0.2">
      <c r="A13" s="2">
        <v>112</v>
      </c>
      <c r="B13" t="s">
        <v>16</v>
      </c>
      <c r="C13" s="2">
        <v>84</v>
      </c>
      <c r="D13" s="2">
        <v>42</v>
      </c>
      <c r="E13" s="2">
        <v>82</v>
      </c>
      <c r="F13" s="2">
        <f t="shared" si="0"/>
        <v>208</v>
      </c>
      <c r="G13" s="2">
        <f t="shared" si="1"/>
        <v>69.333333333333329</v>
      </c>
      <c r="H13" s="2">
        <f t="shared" si="2"/>
        <v>69.333333333333343</v>
      </c>
      <c r="I13" s="2" t="str">
        <f t="shared" si="3"/>
        <v>C</v>
      </c>
      <c r="J13" s="2" t="str">
        <f t="shared" si="4"/>
        <v>Pass</v>
      </c>
    </row>
    <row r="14" spans="1:18" x14ac:dyDescent="0.2">
      <c r="A14" s="2">
        <v>113</v>
      </c>
      <c r="B14" t="s">
        <v>17</v>
      </c>
      <c r="C14" s="2">
        <v>91</v>
      </c>
      <c r="D14" s="2">
        <v>89</v>
      </c>
      <c r="E14" s="2">
        <v>93</v>
      </c>
      <c r="F14" s="2">
        <f t="shared" si="0"/>
        <v>273</v>
      </c>
      <c r="G14" s="2">
        <f t="shared" si="1"/>
        <v>91</v>
      </c>
      <c r="H14" s="2">
        <f t="shared" si="2"/>
        <v>91</v>
      </c>
      <c r="I14" s="2" t="str">
        <f t="shared" si="3"/>
        <v>A+</v>
      </c>
      <c r="J14" s="2" t="str">
        <f t="shared" si="4"/>
        <v>Pass</v>
      </c>
    </row>
    <row r="15" spans="1:18" x14ac:dyDescent="0.2">
      <c r="A15" s="2">
        <v>114</v>
      </c>
      <c r="B15" t="s">
        <v>18</v>
      </c>
      <c r="C15" s="2">
        <v>50</v>
      </c>
      <c r="D15" s="2">
        <v>55</v>
      </c>
      <c r="E15" s="2">
        <v>52</v>
      </c>
      <c r="F15" s="2">
        <f t="shared" si="0"/>
        <v>157</v>
      </c>
      <c r="G15" s="2">
        <f t="shared" si="1"/>
        <v>52.333333333333336</v>
      </c>
      <c r="H15" s="2">
        <f t="shared" si="2"/>
        <v>52.333333333333329</v>
      </c>
      <c r="I15" s="2" t="str">
        <f t="shared" si="3"/>
        <v>F</v>
      </c>
      <c r="J15" s="2" t="str">
        <f t="shared" si="4"/>
        <v>Pass</v>
      </c>
    </row>
    <row r="16" spans="1:18" x14ac:dyDescent="0.2">
      <c r="A16" s="2">
        <v>115</v>
      </c>
      <c r="B16" t="s">
        <v>19</v>
      </c>
      <c r="C16" s="2">
        <v>68</v>
      </c>
      <c r="D16" s="2">
        <v>72</v>
      </c>
      <c r="E16" s="2">
        <v>70</v>
      </c>
      <c r="F16" s="2">
        <f t="shared" si="0"/>
        <v>210</v>
      </c>
      <c r="G16" s="2">
        <f t="shared" si="1"/>
        <v>70</v>
      </c>
      <c r="H16" s="2">
        <f t="shared" si="2"/>
        <v>70</v>
      </c>
      <c r="I16" s="2" t="str">
        <f t="shared" si="3"/>
        <v>B</v>
      </c>
      <c r="J16" s="2" t="str">
        <f t="shared" si="4"/>
        <v>Pass</v>
      </c>
    </row>
    <row r="17" spans="1:10" x14ac:dyDescent="0.2">
      <c r="A17" s="2">
        <v>116</v>
      </c>
      <c r="B17" t="s">
        <v>20</v>
      </c>
      <c r="C17" s="2">
        <v>79</v>
      </c>
      <c r="D17" s="2">
        <v>33</v>
      </c>
      <c r="E17" s="2">
        <v>78</v>
      </c>
      <c r="F17" s="2">
        <f t="shared" si="0"/>
        <v>190</v>
      </c>
      <c r="G17" s="2">
        <f t="shared" si="1"/>
        <v>63.333333333333336</v>
      </c>
      <c r="H17" s="2">
        <f t="shared" si="2"/>
        <v>63.333333333333329</v>
      </c>
      <c r="I17" s="2" t="str">
        <f t="shared" si="3"/>
        <v>C</v>
      </c>
      <c r="J17" s="2" t="str">
        <f t="shared" si="4"/>
        <v>Fail</v>
      </c>
    </row>
    <row r="18" spans="1:10" x14ac:dyDescent="0.2">
      <c r="A18" s="2">
        <v>117</v>
      </c>
      <c r="B18" t="s">
        <v>21</v>
      </c>
      <c r="C18" s="2">
        <v>87</v>
      </c>
      <c r="D18" s="2">
        <v>85</v>
      </c>
      <c r="E18" s="2">
        <v>88</v>
      </c>
      <c r="F18" s="2">
        <f t="shared" si="0"/>
        <v>260</v>
      </c>
      <c r="G18" s="2">
        <f t="shared" si="1"/>
        <v>86.666666666666671</v>
      </c>
      <c r="H18" s="2">
        <f t="shared" si="2"/>
        <v>86.666666666666671</v>
      </c>
      <c r="I18" s="2" t="str">
        <f t="shared" si="3"/>
        <v>A</v>
      </c>
      <c r="J18" s="2" t="str">
        <f t="shared" si="4"/>
        <v>Pass</v>
      </c>
    </row>
    <row r="19" spans="1:10" x14ac:dyDescent="0.2">
      <c r="A19" s="2">
        <v>118</v>
      </c>
      <c r="B19" t="s">
        <v>22</v>
      </c>
      <c r="C19" s="2">
        <v>58</v>
      </c>
      <c r="D19" s="2">
        <v>39</v>
      </c>
      <c r="E19" s="2">
        <v>55</v>
      </c>
      <c r="F19" s="2">
        <f t="shared" si="0"/>
        <v>152</v>
      </c>
      <c r="G19" s="2">
        <f t="shared" si="1"/>
        <v>50.666666666666664</v>
      </c>
      <c r="H19" s="2">
        <f t="shared" si="2"/>
        <v>50.666666666666671</v>
      </c>
      <c r="I19" s="2" t="str">
        <f t="shared" si="3"/>
        <v>F</v>
      </c>
      <c r="J19" s="2" t="str">
        <f t="shared" si="4"/>
        <v>Fail</v>
      </c>
    </row>
    <row r="20" spans="1:10" x14ac:dyDescent="0.2">
      <c r="A20" s="2">
        <v>119</v>
      </c>
      <c r="B20" t="s">
        <v>23</v>
      </c>
      <c r="C20" s="2">
        <v>92</v>
      </c>
      <c r="D20" s="2">
        <v>90</v>
      </c>
      <c r="E20" s="2">
        <v>91</v>
      </c>
      <c r="F20" s="2">
        <f t="shared" si="0"/>
        <v>273</v>
      </c>
      <c r="G20" s="2">
        <f t="shared" si="1"/>
        <v>91</v>
      </c>
      <c r="H20" s="2">
        <f t="shared" si="2"/>
        <v>91</v>
      </c>
      <c r="I20" s="2" t="str">
        <f t="shared" si="3"/>
        <v>A+</v>
      </c>
      <c r="J20" s="2" t="str">
        <f t="shared" si="4"/>
        <v>Pass</v>
      </c>
    </row>
    <row r="21" spans="1:10" x14ac:dyDescent="0.2">
      <c r="A21" s="2">
        <v>120</v>
      </c>
      <c r="B21" t="s">
        <v>24</v>
      </c>
      <c r="C21" s="2">
        <v>66</v>
      </c>
      <c r="D21" s="2">
        <v>64</v>
      </c>
      <c r="E21" s="2">
        <v>68</v>
      </c>
      <c r="F21" s="2">
        <f t="shared" si="0"/>
        <v>198</v>
      </c>
      <c r="G21" s="2">
        <f t="shared" si="1"/>
        <v>66</v>
      </c>
      <c r="H21" s="2">
        <f t="shared" si="2"/>
        <v>66</v>
      </c>
      <c r="I21" s="2" t="str">
        <f t="shared" si="3"/>
        <v>C</v>
      </c>
      <c r="J21" s="2" t="str">
        <f t="shared" si="4"/>
        <v>Pass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D58BF-8F0B-2049-B37A-09B50013F6BC}">
  <dimension ref="A1"/>
  <sheetViews>
    <sheetView workbookViewId="0">
      <selection activeCell="N28" sqref="N2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Sukhman Sahota</dc:creator>
  <cp:lastModifiedBy>Sukhman Sahota</cp:lastModifiedBy>
  <dcterms:created xsi:type="dcterms:W3CDTF">2026-04-14T11:45:39Z</dcterms:created>
  <dcterms:modified xsi:type="dcterms:W3CDTF">2026-04-15T04:50:31Z</dcterms:modified>
</cp:coreProperties>
</file>